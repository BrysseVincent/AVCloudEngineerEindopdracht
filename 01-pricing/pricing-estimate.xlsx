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ss\Desktop\"/>
    </mc:Choice>
  </mc:AlternateContent>
  <xr:revisionPtr revIDLastSave="0" documentId="13_ncr:1_{7B8D0524-7F9D-4ED6-8B70-3CCA6F574A6B}" xr6:coauthVersionLast="47" xr6:coauthVersionMax="47" xr10:uidLastSave="{00000000-0000-0000-0000-000000000000}"/>
  <bookViews>
    <workbookView xWindow="19095" yWindow="0" windowWidth="19410" windowHeight="20985" xr2:uid="{F558BCE7-CE45-4E86-BD65-AD12A7685EF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1" l="1"/>
  <c r="B50" i="1"/>
  <c r="B49" i="1"/>
  <c r="C48" i="1"/>
  <c r="C49" i="1"/>
  <c r="C50" i="1"/>
  <c r="C51" i="1"/>
  <c r="B48" i="1"/>
  <c r="G11" i="1"/>
  <c r="E11" i="1"/>
  <c r="F11" i="1"/>
  <c r="D11" i="1"/>
  <c r="F6" i="1"/>
  <c r="D21" i="1"/>
  <c r="C32" i="1"/>
  <c r="C38" i="1"/>
  <c r="E6" i="1"/>
  <c r="C44" i="1"/>
</calcChain>
</file>

<file path=xl/sharedStrings.xml><?xml version="1.0" encoding="utf-8"?>
<sst xmlns="http://schemas.openxmlformats.org/spreadsheetml/2006/main" count="101" uniqueCount="71">
  <si>
    <t>Compute</t>
  </si>
  <si>
    <t>Resource</t>
  </si>
  <si>
    <t>SKU</t>
  </si>
  <si>
    <t>Regio</t>
  </si>
  <si>
    <t>Instances</t>
  </si>
  <si>
    <t>Prijs/maand</t>
  </si>
  <si>
    <t>App Service Plan (Web+api)</t>
  </si>
  <si>
    <t>P2v3</t>
  </si>
  <si>
    <t>West Europe</t>
  </si>
  <si>
    <t>Azure Functions</t>
  </si>
  <si>
    <t>Consumption</t>
  </si>
  <si>
    <t>Prijs/maand 1J RI</t>
  </si>
  <si>
    <t>Database</t>
  </si>
  <si>
    <t>Azure SQL Database</t>
  </si>
  <si>
    <t>General Purpose, 4 vCores</t>
  </si>
  <si>
    <t>SQL Geo-redundante backup</t>
  </si>
  <si>
    <t>inbegrepen</t>
  </si>
  <si>
    <t>North Europe</t>
  </si>
  <si>
    <t>Prijs/maand (PAYG)</t>
  </si>
  <si>
    <t>Prijs/maand (PAYG + AHB)</t>
  </si>
  <si>
    <t>Prijs/maand 1J RI + AHB</t>
  </si>
  <si>
    <t>Netwerk</t>
  </si>
  <si>
    <t>Azure Firewall</t>
  </si>
  <si>
    <t>Standard</t>
  </si>
  <si>
    <t>Application Gateway + WAF</t>
  </si>
  <si>
    <t>WAF_v2</t>
  </si>
  <si>
    <t>VPN Gateway</t>
  </si>
  <si>
    <t>VpnGw1AZ</t>
  </si>
  <si>
    <t>Azure Bastion</t>
  </si>
  <si>
    <t>Basic</t>
  </si>
  <si>
    <t>Private DNS Zones</t>
  </si>
  <si>
    <t>5 zones</t>
  </si>
  <si>
    <t>Global</t>
  </si>
  <si>
    <t>Datatransfer egress</t>
  </si>
  <si>
    <t>Totaal</t>
  </si>
  <si>
    <t>Security</t>
  </si>
  <si>
    <t>Microsoft Entra ID</t>
  </si>
  <si>
    <t>Key Vault</t>
  </si>
  <si>
    <t>Defender for SQL</t>
  </si>
  <si>
    <t>€ 15/server</t>
  </si>
  <si>
    <t>Defender for App Service</t>
  </si>
  <si>
    <t>€ 15/plan</t>
  </si>
  <si>
    <t>Defender for Storage</t>
  </si>
  <si>
    <t>per transactie</t>
  </si>
  <si>
    <t>Defender for Key Vault</t>
  </si>
  <si>
    <t>€ 0.02/10k ops</t>
  </si>
  <si>
    <t>Defender for Resource Manager</t>
  </si>
  <si>
    <t>€ 4/subscription</t>
  </si>
  <si>
    <t>P1 × 443 gebruikers + P2 x 7 gebruikers</t>
  </si>
  <si>
    <t>Monitoring</t>
  </si>
  <si>
    <t>Log Analytics Workspace</t>
  </si>
  <si>
    <t>Application Insights</t>
  </si>
  <si>
    <t>Premium</t>
  </si>
  <si>
    <t>-</t>
  </si>
  <si>
    <t>Storage</t>
  </si>
  <si>
    <t>Storage Account</t>
  </si>
  <si>
    <t>GRS, Hot tier, 1 TB</t>
  </si>
  <si>
    <t>Azure Backup</t>
  </si>
  <si>
    <t>SQL + App Service</t>
  </si>
  <si>
    <t>300 GB/maand</t>
  </si>
  <si>
    <t>Virtual Machine</t>
  </si>
  <si>
    <t>B2ms</t>
  </si>
  <si>
    <t>10 GB/dag × 30 dagen</t>
  </si>
  <si>
    <t>enkel requests</t>
  </si>
  <si>
    <t>Totaal:</t>
  </si>
  <si>
    <t>Prijs/jaar</t>
  </si>
  <si>
    <t>Type</t>
  </si>
  <si>
    <t>PAYG</t>
  </si>
  <si>
    <t>PAYG + AHB</t>
  </si>
  <si>
    <t>1J RI</t>
  </si>
  <si>
    <t>1J RI + AHB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</si>
</sst>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€&quot;\ #,##0;[Red]&quot;€&quot;\ \-#,##0"/>
    <numFmt numFmtId="8" formatCode="&quot;€&quot;\ #,##0.00;[Red]&quot;€&quot;\ \-#,##0.00"/>
    <numFmt numFmtId="168" formatCode="&quot;€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/>
    <xf numFmtId="4" fontId="0" fillId="0" borderId="0" xfId="0" applyNumberFormat="1"/>
    <xf numFmtId="0" fontId="0" fillId="0" borderId="0" xfId="0" quotePrefix="1" applyAlignment="1">
      <alignment vertical="center" wrapText="1"/>
    </xf>
    <xf numFmtId="8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right" vertical="center" wrapText="1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vertical="center" wrapText="1"/>
    </xf>
  </cellXfs>
  <cellStyles count="1">
    <cellStyle name="Standaard" xfId="0" builtinId="0"/>
  </cellStyles>
  <dxfs count="39">
    <dxf>
      <numFmt numFmtId="168" formatCode="&quot;€&quot;\ #,##0.00"/>
    </dxf>
    <dxf>
      <numFmt numFmtId="168" formatCode="&quot;€&quot;\ #,##0.00"/>
    </dxf>
    <dxf>
      <alignment horizontal="general" vertical="center" textRotation="0" wrapText="1" indent="0" justifyLastLine="0" shrinkToFit="0" readingOrder="0"/>
    </dxf>
    <dxf>
      <numFmt numFmtId="168" formatCode="&quot;€&quot;\ #,##0.00"/>
      <alignment horizontal="general" vertical="center" textRotation="0" wrapText="1" indent="0" justifyLastLine="0" shrinkToFit="0" readingOrder="0"/>
    </dxf>
    <dxf>
      <numFmt numFmtId="168" formatCode="&quot;€&quot;\ #,##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8" formatCode="&quot;€&quot;\ #,##0.00"/>
      <alignment horizontal="general" vertical="center" textRotation="0" wrapText="1" indent="0" justifyLastLine="0" shrinkToFit="0" readingOrder="0"/>
    </dxf>
    <dxf>
      <numFmt numFmtId="168" formatCode="&quot;€&quot;\ #,##0.00"/>
      <alignment horizontal="general" vertical="center" textRotation="0" wrapText="1" indent="0" justifyLastLine="0" shrinkToFit="0" readingOrder="0"/>
    </dxf>
    <dxf>
      <numFmt numFmtId="168" formatCode="&quot;€&quot;\ #,##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68" formatCode="&quot;€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10" formatCode="&quot;€&quot;\ #,##0;[Red]&quot;€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B9E48-28DD-4F01-896D-B87070DEF234}" name="Tabel1" displayName="Tabel1" ref="A2:F5" totalsRowShown="0" headerRowDxfId="10" dataDxfId="9">
  <autoFilter ref="A2:F5" xr:uid="{613B9E48-28DD-4F01-896D-B87070DEF234}"/>
  <tableColumns count="6">
    <tableColumn id="1" xr3:uid="{C4244ACC-75BF-4F11-B67B-FFFAD83C2D48}" name="Resource" dataDxfId="8"/>
    <tableColumn id="2" xr3:uid="{D2AEECC9-C376-4F79-BBC4-7EB1138B15CF}" name="SKU" dataDxfId="7"/>
    <tableColumn id="3" xr3:uid="{CCD294D5-468D-422D-9FEC-5B84336DF2A7}" name="Regio" dataDxfId="6"/>
    <tableColumn id="4" xr3:uid="{937AA8F0-AD12-49C6-8F32-1A0E25688877}" name="Instances" dataDxfId="5"/>
    <tableColumn id="5" xr3:uid="{8672E74B-92D3-469D-B6B6-C3A846BF683A}" name="Prijs/maand (PAYG)" dataDxfId="4"/>
    <tableColumn id="6" xr3:uid="{9EE1D793-B759-4CA4-AF4D-E1BE620CBA64}" name="Prijs/maand 1J RI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AC0FEC-CF10-4DA3-B363-74C13EB5CD70}" name="Tabel2" displayName="Tabel2" ref="A8:G10" totalsRowShown="0" headerRowDxfId="18" dataDxfId="17">
  <autoFilter ref="A8:G10" xr:uid="{E3AC0FEC-CF10-4DA3-B363-74C13EB5CD70}"/>
  <tableColumns count="7">
    <tableColumn id="1" xr3:uid="{B58E5D2D-6E5C-4767-81D8-5ACD4973D6A4}" name="Resource" dataDxfId="16"/>
    <tableColumn id="2" xr3:uid="{869236A8-6062-49DF-B03F-554A01E0A2C8}" name="SKU" dataDxfId="15"/>
    <tableColumn id="3" xr3:uid="{0FC36CEF-4EEA-4D74-ABC3-A0932B259806}" name="Regio" dataDxfId="14"/>
    <tableColumn id="4" xr3:uid="{1003BDC7-2CA7-4D9C-834F-C0C46BEFF2B9}" name="Prijs/maand (PAYG)" dataDxfId="13"/>
    <tableColumn id="5" xr3:uid="{94614496-EF66-436D-9F06-7290772B5C77}" name="Prijs/maand (PAYG + AHB)" dataDxfId="12"/>
    <tableColumn id="6" xr3:uid="{9A295470-919E-4E8F-A9B2-4694C7CB22F5}" name="Prijs/maand 1J RI + AHB" dataDxfId="11"/>
    <tableColumn id="7" xr3:uid="{4E0155CF-6A72-4B05-A12F-8B3C2063D536}" name="Prijs/maand 1J RI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009DCF-1B72-40ED-A614-768FCFD9DDA8}" name="Tabel3" displayName="Tabel3" ref="A14:D20" totalsRowShown="0" headerRowDxfId="24" dataDxfId="23">
  <autoFilter ref="A14:D20" xr:uid="{B5009DCF-1B72-40ED-A614-768FCFD9DDA8}"/>
  <tableColumns count="4">
    <tableColumn id="1" xr3:uid="{3E08CDE5-0527-4AF0-BAD1-5C1175930F61}" name="Resource" dataDxfId="22"/>
    <tableColumn id="2" xr3:uid="{0811471C-4C2F-486F-BEC4-60F2EC607CBE}" name="SKU" dataDxfId="21"/>
    <tableColumn id="3" xr3:uid="{910CD9D4-4773-44A2-B75A-5CB6A4BE0363}" name="Regio" dataDxfId="20"/>
    <tableColumn id="4" xr3:uid="{956799B8-0F1D-4608-8C49-2BAF74034588}" name="Prijs/maand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C55506-FDF6-49E9-B924-75F8EB193453}" name="Tabel4" displayName="Tabel4" ref="A24:C31" totalsRowShown="0" headerRowDxfId="28">
  <autoFilter ref="A24:C31" xr:uid="{DCC55506-FDF6-49E9-B924-75F8EB193453}"/>
  <tableColumns count="3">
    <tableColumn id="1" xr3:uid="{00F03F93-FD01-4425-9FC1-188012C60A92}" name="Resource" dataDxfId="27"/>
    <tableColumn id="2" xr3:uid="{0D944152-1938-4778-B947-4DBB79D2ACF7}" name="SKU" dataDxfId="26"/>
    <tableColumn id="3" xr3:uid="{EA0EA08D-6231-433C-B5BA-93DE1645E135}" name="Prijs/maand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541882-3B66-4B1F-9A53-0E9C032EA838}" name="Tabel6" displayName="Tabel6" ref="A35:C37" totalsRowShown="0" headerRowDxfId="33" dataDxfId="32">
  <autoFilter ref="A35:C37" xr:uid="{77541882-3B66-4B1F-9A53-0E9C032EA838}"/>
  <tableColumns count="3">
    <tableColumn id="1" xr3:uid="{20A21677-02B2-48B2-A1D6-C34021D10983}" name="Resource" dataDxfId="31"/>
    <tableColumn id="2" xr3:uid="{B0DA0BBE-AE15-424F-9F8B-4A84B18AEB53}" name="SKU" dataDxfId="30"/>
    <tableColumn id="3" xr3:uid="{6660B3AE-BC5A-497B-A8C6-D2C47BE38700}" name="Prijs/maand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DBF5A-5CBE-49C0-9F60-184C6B737FFF}" name="Tabel5" displayName="Tabel5" ref="A41:C43" totalsRowShown="0" headerRowDxfId="38" dataDxfId="37">
  <autoFilter ref="A41:C43" xr:uid="{F7FDBF5A-5CBE-49C0-9F60-184C6B737FFF}"/>
  <tableColumns count="3">
    <tableColumn id="1" xr3:uid="{55EAE36B-5106-444B-BC6A-83878F41B5E4}" name="Resource" dataDxfId="36"/>
    <tableColumn id="2" xr3:uid="{DE5325AB-046A-4537-9D1B-EFFC6A0B7F2E}" name="SKU" dataDxfId="35"/>
    <tableColumn id="3" xr3:uid="{CC485169-25A7-4BF5-A277-0AD81BBE324C}" name="Prijs/maand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578F97-04B0-41B7-ABBA-053B16507881}" name="Tabel7" displayName="Tabel7" ref="A47:C51" totalsRowShown="0">
  <autoFilter ref="A47:C51" xr:uid="{36578F97-04B0-41B7-ABBA-053B16507881}"/>
  <tableColumns count="3">
    <tableColumn id="1" xr3:uid="{26939C42-5925-45A7-8B1B-0D0F6DF8F99C}" name="Type"/>
    <tableColumn id="2" xr3:uid="{3F06349D-C0AB-48AD-9993-9A265BA92E4D}" name="Prijs/maand" dataDxfId="1">
      <calculatedColumnFormula>C44+C38+C32+D21+D11+E6</calculatedColumnFormula>
    </tableColumn>
    <tableColumn id="3" xr3:uid="{E59B9A18-F420-4F18-BCE5-F5F8BFBF561A}" name="Prijs/jaar" dataDxfId="0">
      <calculatedColumnFormula>Tabel7[[#This Row],[Prijs/maand]]*12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417-DACB-45E2-B205-1460A01273F2}">
  <dimension ref="A1:G51"/>
  <sheetViews>
    <sheetView tabSelected="1" topLeftCell="C1" workbookViewId="0">
      <selection activeCell="G11" sqref="G11"/>
    </sheetView>
  </sheetViews>
  <sheetFormatPr defaultRowHeight="15" x14ac:dyDescent="0.25"/>
  <cols>
    <col min="1" max="1" width="29.85546875" customWidth="1"/>
    <col min="2" max="2" width="41.42578125" customWidth="1"/>
    <col min="3" max="3" width="20.85546875" customWidth="1"/>
    <col min="4" max="4" width="32.28515625" customWidth="1"/>
    <col min="5" max="5" width="35" customWidth="1"/>
    <col min="6" max="6" width="41.140625" customWidth="1"/>
    <col min="7" max="7" width="34.7109375" customWidth="1"/>
  </cols>
  <sheetData>
    <row r="1" spans="1:7" x14ac:dyDescent="0.25">
      <c r="A1" s="6" t="s">
        <v>0</v>
      </c>
    </row>
    <row r="2" spans="1:7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18</v>
      </c>
      <c r="F2" s="2" t="s">
        <v>11</v>
      </c>
    </row>
    <row r="3" spans="1:7" ht="15" customHeight="1" x14ac:dyDescent="0.25">
      <c r="A3" s="1" t="s">
        <v>6</v>
      </c>
      <c r="B3" s="1" t="s">
        <v>7</v>
      </c>
      <c r="C3" s="1" t="s">
        <v>8</v>
      </c>
      <c r="D3" s="1">
        <v>2</v>
      </c>
      <c r="E3" s="14">
        <v>848.89</v>
      </c>
      <c r="F3" s="14">
        <v>633.04</v>
      </c>
    </row>
    <row r="4" spans="1:7" ht="15" customHeight="1" x14ac:dyDescent="0.25">
      <c r="A4" s="1" t="s">
        <v>9</v>
      </c>
      <c r="B4" s="1" t="s">
        <v>10</v>
      </c>
      <c r="C4" s="1" t="s">
        <v>8</v>
      </c>
      <c r="D4" s="5">
        <v>0</v>
      </c>
      <c r="E4" s="15">
        <v>0</v>
      </c>
      <c r="F4" s="15">
        <v>0</v>
      </c>
    </row>
    <row r="5" spans="1:7" x14ac:dyDescent="0.25">
      <c r="A5" s="1" t="s">
        <v>60</v>
      </c>
      <c r="B5" s="1" t="s">
        <v>61</v>
      </c>
      <c r="C5" s="1" t="s">
        <v>8</v>
      </c>
      <c r="D5" s="1">
        <v>1</v>
      </c>
      <c r="E5" s="14">
        <v>65.3</v>
      </c>
      <c r="F5" s="14">
        <v>35.26</v>
      </c>
    </row>
    <row r="6" spans="1:7" x14ac:dyDescent="0.25">
      <c r="D6" s="7" t="s">
        <v>64</v>
      </c>
      <c r="E6" s="14">
        <f>E3+E4+E5</f>
        <v>914.18999999999994</v>
      </c>
      <c r="F6" s="12">
        <f>SUM(Tabel1[Prijs/maand 1J RI])</f>
        <v>668.3</v>
      </c>
    </row>
    <row r="7" spans="1:7" x14ac:dyDescent="0.25">
      <c r="A7" s="6" t="s">
        <v>12</v>
      </c>
    </row>
    <row r="8" spans="1:7" ht="15" customHeight="1" x14ac:dyDescent="0.25">
      <c r="A8" s="2" t="s">
        <v>1</v>
      </c>
      <c r="B8" s="2" t="s">
        <v>2</v>
      </c>
      <c r="C8" s="2" t="s">
        <v>3</v>
      </c>
      <c r="D8" s="2" t="s">
        <v>18</v>
      </c>
      <c r="E8" s="2" t="s">
        <v>19</v>
      </c>
      <c r="F8" s="2" t="s">
        <v>20</v>
      </c>
      <c r="G8" s="2" t="s">
        <v>11</v>
      </c>
    </row>
    <row r="9" spans="1:7" x14ac:dyDescent="0.25">
      <c r="A9" s="1" t="s">
        <v>13</v>
      </c>
      <c r="B9" s="1" t="s">
        <v>14</v>
      </c>
      <c r="C9" s="1" t="s">
        <v>8</v>
      </c>
      <c r="D9" s="13">
        <v>1077.0899999999999</v>
      </c>
      <c r="E9" s="13">
        <v>826.02</v>
      </c>
      <c r="F9" s="14">
        <v>590.4</v>
      </c>
      <c r="G9" s="12">
        <v>766.16</v>
      </c>
    </row>
    <row r="10" spans="1:7" x14ac:dyDescent="0.25">
      <c r="A10" s="1" t="s">
        <v>15</v>
      </c>
      <c r="B10" s="1" t="s">
        <v>16</v>
      </c>
      <c r="C10" s="1" t="s">
        <v>17</v>
      </c>
      <c r="D10" s="15">
        <v>0</v>
      </c>
      <c r="E10" s="15">
        <v>0</v>
      </c>
      <c r="F10" s="15">
        <v>0</v>
      </c>
      <c r="G10" s="15">
        <v>0</v>
      </c>
    </row>
    <row r="11" spans="1:7" x14ac:dyDescent="0.25">
      <c r="C11" s="7" t="s">
        <v>64</v>
      </c>
      <c r="D11" s="12">
        <f>SUM(Tabel2[Prijs/maand (PAYG)])</f>
        <v>1077.0899999999999</v>
      </c>
      <c r="E11" s="12">
        <f>SUM(Tabel2[Prijs/maand (PAYG + AHB)])</f>
        <v>826.02</v>
      </c>
      <c r="F11" s="12">
        <f>SUM(Tabel2[Prijs/maand 1J RI + AHB])</f>
        <v>590.4</v>
      </c>
      <c r="G11" s="12">
        <f>SUM(Tabel2[Prijs/maand 1J RI])</f>
        <v>766.16</v>
      </c>
    </row>
    <row r="13" spans="1:7" x14ac:dyDescent="0.25">
      <c r="A13" s="6" t="s">
        <v>21</v>
      </c>
    </row>
    <row r="14" spans="1:7" x14ac:dyDescent="0.25">
      <c r="A14" s="2" t="s">
        <v>1</v>
      </c>
      <c r="B14" s="2" t="s">
        <v>2</v>
      </c>
      <c r="C14" s="2" t="s">
        <v>3</v>
      </c>
      <c r="D14" s="2" t="s">
        <v>5</v>
      </c>
    </row>
    <row r="15" spans="1:7" x14ac:dyDescent="0.25">
      <c r="A15" s="1" t="s">
        <v>22</v>
      </c>
      <c r="B15" s="1" t="s">
        <v>52</v>
      </c>
      <c r="C15" s="1" t="s">
        <v>8</v>
      </c>
      <c r="D15" s="12">
        <v>1102.9100000000001</v>
      </c>
    </row>
    <row r="16" spans="1:7" x14ac:dyDescent="0.25">
      <c r="A16" s="1" t="s">
        <v>24</v>
      </c>
      <c r="B16" s="1" t="s">
        <v>25</v>
      </c>
      <c r="C16" s="1" t="s">
        <v>8</v>
      </c>
      <c r="D16" s="12">
        <v>327.97</v>
      </c>
    </row>
    <row r="17" spans="1:6" x14ac:dyDescent="0.25">
      <c r="A17" s="1" t="s">
        <v>26</v>
      </c>
      <c r="B17" s="1" t="s">
        <v>27</v>
      </c>
      <c r="C17" s="1" t="s">
        <v>8</v>
      </c>
      <c r="D17" s="12">
        <v>145.62</v>
      </c>
    </row>
    <row r="18" spans="1:6" x14ac:dyDescent="0.25">
      <c r="A18" s="1" t="s">
        <v>28</v>
      </c>
      <c r="B18" s="1" t="s">
        <v>29</v>
      </c>
      <c r="C18" s="1" t="s">
        <v>8</v>
      </c>
      <c r="D18" s="12">
        <v>119.3</v>
      </c>
    </row>
    <row r="19" spans="1:6" x14ac:dyDescent="0.25">
      <c r="A19" s="1" t="s">
        <v>30</v>
      </c>
      <c r="B19" s="1" t="s">
        <v>31</v>
      </c>
      <c r="C19" s="1" t="s">
        <v>32</v>
      </c>
      <c r="D19" s="12">
        <v>322.51</v>
      </c>
    </row>
    <row r="20" spans="1:6" x14ac:dyDescent="0.25">
      <c r="A20" s="1" t="s">
        <v>33</v>
      </c>
      <c r="B20" s="1" t="s">
        <v>59</v>
      </c>
      <c r="C20" s="10" t="s">
        <v>53</v>
      </c>
      <c r="D20" s="12">
        <v>14.97</v>
      </c>
    </row>
    <row r="21" spans="1:6" x14ac:dyDescent="0.25">
      <c r="C21" s="7" t="s">
        <v>64</v>
      </c>
      <c r="D21" s="12">
        <f>SUM(Tabel3[Prijs/maand])</f>
        <v>2033.28</v>
      </c>
    </row>
    <row r="23" spans="1:6" x14ac:dyDescent="0.25">
      <c r="A23" s="6" t="s">
        <v>35</v>
      </c>
    </row>
    <row r="24" spans="1:6" x14ac:dyDescent="0.25">
      <c r="A24" s="2" t="s">
        <v>1</v>
      </c>
      <c r="B24" s="2" t="s">
        <v>2</v>
      </c>
      <c r="C24" s="2" t="s">
        <v>5</v>
      </c>
    </row>
    <row r="25" spans="1:6" x14ac:dyDescent="0.25">
      <c r="A25" s="1" t="s">
        <v>36</v>
      </c>
      <c r="B25" s="1" t="s">
        <v>48</v>
      </c>
      <c r="C25" s="14">
        <v>2591.4899999999998</v>
      </c>
    </row>
    <row r="26" spans="1:6" x14ac:dyDescent="0.25">
      <c r="A26" s="1" t="s">
        <v>37</v>
      </c>
      <c r="B26" s="1" t="s">
        <v>23</v>
      </c>
      <c r="C26" s="14">
        <v>2.74</v>
      </c>
    </row>
    <row r="27" spans="1:6" x14ac:dyDescent="0.25">
      <c r="A27" s="1" t="s">
        <v>38</v>
      </c>
      <c r="B27" s="1" t="s">
        <v>39</v>
      </c>
      <c r="C27" s="4">
        <v>15</v>
      </c>
    </row>
    <row r="28" spans="1:6" x14ac:dyDescent="0.25">
      <c r="A28" s="1" t="s">
        <v>40</v>
      </c>
      <c r="B28" s="1" t="s">
        <v>41</v>
      </c>
      <c r="C28" s="4">
        <v>15</v>
      </c>
    </row>
    <row r="29" spans="1:6" x14ac:dyDescent="0.25">
      <c r="A29" s="1" t="s">
        <v>42</v>
      </c>
      <c r="B29" s="1" t="s">
        <v>43</v>
      </c>
      <c r="C29" s="3">
        <v>10</v>
      </c>
    </row>
    <row r="30" spans="1:6" x14ac:dyDescent="0.25">
      <c r="A30" s="1" t="s">
        <v>44</v>
      </c>
      <c r="B30" s="1" t="s">
        <v>45</v>
      </c>
      <c r="C30" s="3">
        <v>1</v>
      </c>
    </row>
    <row r="31" spans="1:6" x14ac:dyDescent="0.25">
      <c r="A31" s="1" t="s">
        <v>46</v>
      </c>
      <c r="B31" s="1" t="s">
        <v>47</v>
      </c>
      <c r="C31" s="4">
        <v>4</v>
      </c>
      <c r="E31" s="12"/>
      <c r="F31" s="12"/>
    </row>
    <row r="32" spans="1:6" x14ac:dyDescent="0.25">
      <c r="B32" s="7" t="s">
        <v>64</v>
      </c>
      <c r="C32" s="12">
        <f>SUM(Tabel4[Prijs/maand])</f>
        <v>2639.2299999999996</v>
      </c>
      <c r="E32" s="12"/>
      <c r="F32" s="12"/>
    </row>
    <row r="33" spans="1:6" x14ac:dyDescent="0.25">
      <c r="E33" s="12"/>
      <c r="F33" s="12"/>
    </row>
    <row r="34" spans="1:6" x14ac:dyDescent="0.25">
      <c r="A34" s="6" t="s">
        <v>49</v>
      </c>
      <c r="E34" s="12"/>
      <c r="F34" s="12"/>
    </row>
    <row r="35" spans="1:6" x14ac:dyDescent="0.25">
      <c r="A35" s="2" t="s">
        <v>1</v>
      </c>
      <c r="B35" s="2" t="s">
        <v>2</v>
      </c>
      <c r="C35" s="2" t="s">
        <v>5</v>
      </c>
    </row>
    <row r="36" spans="1:6" x14ac:dyDescent="0.25">
      <c r="A36" s="1" t="s">
        <v>50</v>
      </c>
      <c r="B36" s="1" t="s">
        <v>62</v>
      </c>
      <c r="C36" s="14">
        <v>825.74</v>
      </c>
    </row>
    <row r="37" spans="1:6" x14ac:dyDescent="0.25">
      <c r="A37" s="1" t="s">
        <v>51</v>
      </c>
      <c r="B37" s="1" t="s">
        <v>63</v>
      </c>
      <c r="C37" s="11">
        <v>1.5</v>
      </c>
    </row>
    <row r="38" spans="1:6" x14ac:dyDescent="0.25">
      <c r="B38" s="7" t="s">
        <v>64</v>
      </c>
      <c r="C38" s="12">
        <f>SUM(Tabel6[Prijs/maand])</f>
        <v>827.24</v>
      </c>
      <c r="E38" s="9"/>
    </row>
    <row r="40" spans="1:6" x14ac:dyDescent="0.25">
      <c r="A40" s="6" t="s">
        <v>54</v>
      </c>
    </row>
    <row r="41" spans="1:6" x14ac:dyDescent="0.25">
      <c r="A41" s="2" t="s">
        <v>1</v>
      </c>
      <c r="B41" s="2" t="s">
        <v>2</v>
      </c>
      <c r="C41" s="2" t="s">
        <v>5</v>
      </c>
    </row>
    <row r="42" spans="1:6" x14ac:dyDescent="0.25">
      <c r="A42" s="1" t="s">
        <v>55</v>
      </c>
      <c r="B42" s="1" t="s">
        <v>56</v>
      </c>
      <c r="C42" s="12">
        <v>52.82</v>
      </c>
    </row>
    <row r="43" spans="1:6" x14ac:dyDescent="0.25">
      <c r="A43" s="1" t="s">
        <v>57</v>
      </c>
      <c r="B43" s="1" t="s">
        <v>58</v>
      </c>
      <c r="C43" s="12">
        <v>12.72</v>
      </c>
    </row>
    <row r="44" spans="1:6" x14ac:dyDescent="0.25">
      <c r="B44" s="7" t="s">
        <v>64</v>
      </c>
      <c r="C44" s="12">
        <f>C42+C43</f>
        <v>65.540000000000006</v>
      </c>
    </row>
    <row r="46" spans="1:6" x14ac:dyDescent="0.25">
      <c r="A46" s="8" t="s">
        <v>34</v>
      </c>
    </row>
    <row r="47" spans="1:6" x14ac:dyDescent="0.25">
      <c r="A47" t="s">
        <v>66</v>
      </c>
      <c r="B47" t="s">
        <v>5</v>
      </c>
      <c r="C47" t="s">
        <v>65</v>
      </c>
    </row>
    <row r="48" spans="1:6" x14ac:dyDescent="0.25">
      <c r="A48" t="s">
        <v>67</v>
      </c>
      <c r="B48" s="12">
        <f t="shared" ref="B48:B51" si="0">C44+C38+C32+D21+D11+E6</f>
        <v>7556.5699999999988</v>
      </c>
      <c r="C48" s="12">
        <f>Tabel7[[#This Row],[Prijs/maand]]*12</f>
        <v>90678.839999999982</v>
      </c>
    </row>
    <row r="49" spans="1:3" x14ac:dyDescent="0.25">
      <c r="A49" t="s">
        <v>68</v>
      </c>
      <c r="B49" s="12">
        <f>C44+C38+C32+D21+E11+E6</f>
        <v>7305.4999999999991</v>
      </c>
      <c r="C49" s="12">
        <f>Tabel7[[#This Row],[Prijs/maand]]*12</f>
        <v>87665.999999999985</v>
      </c>
    </row>
    <row r="50" spans="1:3" x14ac:dyDescent="0.25">
      <c r="A50" t="s">
        <v>69</v>
      </c>
      <c r="B50" s="12">
        <f>C44+C38+C32+D21+G11+F6</f>
        <v>6999.7499999999991</v>
      </c>
      <c r="C50" s="12">
        <f>Tabel7[[#This Row],[Prijs/maand]]*12</f>
        <v>83996.999999999985</v>
      </c>
    </row>
    <row r="51" spans="1:3" x14ac:dyDescent="0.25">
      <c r="A51" t="s">
        <v>70</v>
      </c>
      <c r="B51" s="12">
        <f>C44+C38+C32+D21+F11+F6</f>
        <v>6823.9899999999989</v>
      </c>
      <c r="C51" s="12">
        <f>Tabel7[[#This Row],[Prijs/maand]]*12</f>
        <v>81887.87999999999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Brysse</dc:creator>
  <cp:lastModifiedBy>Vincent Brysse</cp:lastModifiedBy>
  <dcterms:created xsi:type="dcterms:W3CDTF">2026-06-06T18:49:39Z</dcterms:created>
  <dcterms:modified xsi:type="dcterms:W3CDTF">2026-06-07T16:40:56Z</dcterms:modified>
</cp:coreProperties>
</file>